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8_{4CF2F8D6-AF94-48ED-AEC4-D0C9F771F1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solver_adj" localSheetId="0" hidden="1">Sheet1!$B$3:$E$4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Sheet1!$B$6:$E$6</definedName>
    <definedName name="solver_lhs2" localSheetId="0" hidden="1">Sheet1!$G$3:$G$4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Sheet1!$A$2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1</definedName>
    <definedName name="solver_rhs1" localSheetId="0" hidden="1">Sheet1!$B$5:$E$5</definedName>
    <definedName name="solver_rhs2" localSheetId="0" hidden="1">Sheet1!$F$3:$F$4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E6" i="1"/>
  <c r="D6" i="1"/>
  <c r="C6" i="1"/>
  <c r="B6" i="1"/>
  <c r="G4" i="1"/>
  <c r="G3" i="1"/>
</calcChain>
</file>

<file path=xl/sharedStrings.xml><?xml version="1.0" encoding="utf-8"?>
<sst xmlns="http://schemas.openxmlformats.org/spreadsheetml/2006/main" count="33" uniqueCount="21">
  <si>
    <t xml:space="preserve">Destination </t>
  </si>
  <si>
    <t xml:space="preserve">Multan </t>
  </si>
  <si>
    <t xml:space="preserve">Lahore </t>
  </si>
  <si>
    <t xml:space="preserve">Islamabad </t>
  </si>
  <si>
    <t xml:space="preserve">Karachi </t>
  </si>
  <si>
    <t xml:space="preserve">Faisalabad </t>
  </si>
  <si>
    <t xml:space="preserve">Peshawar </t>
  </si>
  <si>
    <t xml:space="preserve">Supply </t>
  </si>
  <si>
    <t xml:space="preserve">Units supplied </t>
  </si>
  <si>
    <t xml:space="preserve">Demand </t>
  </si>
  <si>
    <t xml:space="preserve">Units demanded </t>
  </si>
  <si>
    <t>Shipping cost (Per unit)</t>
  </si>
  <si>
    <t>Source</t>
  </si>
  <si>
    <t>Karachi</t>
  </si>
  <si>
    <t xml:space="preserve">1. Multan </t>
  </si>
  <si>
    <t xml:space="preserve">2. Lahore </t>
  </si>
  <si>
    <t xml:space="preserve">A. Islamabad </t>
  </si>
  <si>
    <t xml:space="preserve">B. Karachi </t>
  </si>
  <si>
    <t xml:space="preserve">C. Faisalabad </t>
  </si>
  <si>
    <t xml:space="preserve">D. Peshawar </t>
  </si>
  <si>
    <t xml:space="preserve">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</si>
</sst>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Fill="1"/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FE7F-6E41-FD48-A9D9-0E22656217BF}">
  <dimension ref="A1:N16"/>
  <sheetViews>
    <sheetView tabSelected="1" zoomScaleNormal="100" zoomScaleSheetLayoutView="100" workbookViewId="0">
      <selection activeCell="P16" sqref="P16"/>
    </sheetView>
  </sheetViews>
  <sheetFormatPr defaultRowHeight="15" x14ac:dyDescent="0.25"/>
  <cols>
    <col min="7" max="7" width="13.5703125" customWidth="1"/>
    <col min="12" max="12" width="15.5703125" customWidth="1"/>
  </cols>
  <sheetData>
    <row r="1" spans="1:14" x14ac:dyDescent="0.25">
      <c r="B1" s="2" t="s">
        <v>0</v>
      </c>
    </row>
    <row r="2" spans="1:14" x14ac:dyDescent="0.25">
      <c r="A2" s="3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I2" t="s">
        <v>11</v>
      </c>
    </row>
    <row r="3" spans="1:14" x14ac:dyDescent="0.25">
      <c r="A3" s="3" t="s">
        <v>1</v>
      </c>
      <c r="B3" s="4">
        <v>0</v>
      </c>
      <c r="C3" s="4">
        <v>6000</v>
      </c>
      <c r="D3" s="4">
        <v>0</v>
      </c>
      <c r="E3" s="4">
        <v>1700</v>
      </c>
      <c r="F3" s="5">
        <v>18000</v>
      </c>
      <c r="G3" s="4">
        <f>SUM(B3:E3)</f>
        <v>7700</v>
      </c>
      <c r="J3" t="s">
        <v>0</v>
      </c>
    </row>
    <row r="4" spans="1:14" x14ac:dyDescent="0.25">
      <c r="A4" s="3" t="s">
        <v>2</v>
      </c>
      <c r="B4" s="4">
        <v>8500</v>
      </c>
      <c r="C4" s="4">
        <v>0</v>
      </c>
      <c r="D4" s="4">
        <v>4000</v>
      </c>
      <c r="E4" s="4">
        <v>2500</v>
      </c>
      <c r="F4" s="5">
        <v>15000</v>
      </c>
      <c r="G4" s="4">
        <f>SUM(B4:E4)</f>
        <v>15000</v>
      </c>
      <c r="I4" t="s">
        <v>12</v>
      </c>
      <c r="J4" t="s">
        <v>3</v>
      </c>
      <c r="K4" t="s">
        <v>13</v>
      </c>
      <c r="L4" t="s">
        <v>5</v>
      </c>
      <c r="M4" t="s">
        <v>6</v>
      </c>
      <c r="N4" t="s">
        <v>7</v>
      </c>
    </row>
    <row r="5" spans="1:14" x14ac:dyDescent="0.25">
      <c r="A5" s="3" t="s">
        <v>9</v>
      </c>
      <c r="B5" s="5">
        <v>8500</v>
      </c>
      <c r="C5" s="5">
        <v>6000</v>
      </c>
      <c r="D5" s="5">
        <v>4000</v>
      </c>
      <c r="E5" s="5">
        <v>4200</v>
      </c>
      <c r="F5" s="4"/>
      <c r="G5" s="4"/>
      <c r="I5" t="s">
        <v>1</v>
      </c>
      <c r="J5">
        <v>25</v>
      </c>
      <c r="K5">
        <v>35</v>
      </c>
      <c r="L5">
        <v>30</v>
      </c>
      <c r="M5">
        <v>30</v>
      </c>
      <c r="N5" s="1">
        <v>33000</v>
      </c>
    </row>
    <row r="6" spans="1:14" x14ac:dyDescent="0.25">
      <c r="A6" s="3" t="s">
        <v>10</v>
      </c>
      <c r="B6" s="4">
        <f>SUM(B3:B4)</f>
        <v>8500</v>
      </c>
      <c r="C6" s="4">
        <f>SUM(C3:C4)</f>
        <v>6000</v>
      </c>
      <c r="D6" s="4">
        <f>SUM(D3:D4)</f>
        <v>4000</v>
      </c>
      <c r="E6" s="4">
        <f>SUM(E3:E4)</f>
        <v>4200</v>
      </c>
      <c r="F6" s="4"/>
      <c r="G6" s="4"/>
      <c r="I6" t="s">
        <v>2</v>
      </c>
      <c r="J6">
        <v>20</v>
      </c>
      <c r="K6">
        <v>50</v>
      </c>
      <c r="L6">
        <v>20</v>
      </c>
      <c r="M6">
        <v>40</v>
      </c>
    </row>
    <row r="7" spans="1:14" x14ac:dyDescent="0.25">
      <c r="A7" s="3" t="s">
        <v>20</v>
      </c>
      <c r="B7" s="4">
        <f>SUMPRODUCT(B3:E4,J5:M6)</f>
        <v>611000</v>
      </c>
      <c r="C7" s="4"/>
      <c r="D7" s="4"/>
      <c r="E7" s="4"/>
      <c r="F7" s="4"/>
      <c r="G7" s="4"/>
      <c r="I7" t="s">
        <v>9</v>
      </c>
      <c r="J7" s="1">
        <v>8500</v>
      </c>
      <c r="K7" s="1">
        <v>6000</v>
      </c>
      <c r="L7" s="1">
        <v>4000</v>
      </c>
      <c r="M7" s="1">
        <v>4200</v>
      </c>
    </row>
    <row r="11" spans="1:14" x14ac:dyDescent="0.25">
      <c r="I11" t="s">
        <v>12</v>
      </c>
      <c r="J11" t="s">
        <v>7</v>
      </c>
      <c r="L11" t="s">
        <v>0</v>
      </c>
      <c r="M11" t="s">
        <v>9</v>
      </c>
    </row>
    <row r="12" spans="1:14" x14ac:dyDescent="0.25">
      <c r="I12" t="s">
        <v>14</v>
      </c>
      <c r="J12" s="1">
        <v>18000</v>
      </c>
      <c r="L12" t="s">
        <v>16</v>
      </c>
      <c r="M12" s="1">
        <v>8500</v>
      </c>
    </row>
    <row r="13" spans="1:14" x14ac:dyDescent="0.25">
      <c r="I13" t="s">
        <v>15</v>
      </c>
      <c r="J13" s="1">
        <v>15000</v>
      </c>
      <c r="L13" t="s">
        <v>17</v>
      </c>
      <c r="M13" s="1">
        <v>6000</v>
      </c>
    </row>
    <row r="14" spans="1:14" x14ac:dyDescent="0.25">
      <c r="J14" s="1">
        <v>33000</v>
      </c>
      <c r="L14" t="s">
        <v>18</v>
      </c>
      <c r="M14" s="1">
        <v>4000</v>
      </c>
    </row>
    <row r="15" spans="1:14" x14ac:dyDescent="0.25">
      <c r="L15" t="s">
        <v>19</v>
      </c>
      <c r="M15" s="1">
        <v>4200</v>
      </c>
    </row>
    <row r="16" spans="1:14" x14ac:dyDescent="0.25">
      <c r="M16" s="1">
        <v>22700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MOAIZ IRFAN</dc:creator>
  <cp:lastModifiedBy>Moaiz Irfan</cp:lastModifiedBy>
  <dcterms:created xsi:type="dcterms:W3CDTF">2026-04-18T23:32:41Z</dcterms:created>
  <dcterms:modified xsi:type="dcterms:W3CDTF">2026-04-19T09:54:15Z</dcterms:modified>
</cp:coreProperties>
</file>