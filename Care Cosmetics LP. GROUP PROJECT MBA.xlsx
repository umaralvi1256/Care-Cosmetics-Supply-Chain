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8_{2AFBEFF6-B489-427B-8A43-F66F0A2B1405}" xr6:coauthVersionLast="47" xr6:coauthVersionMax="47" xr10:uidLastSave="{00000000-0000-0000-0000-000000000000}"/>
  <bookViews>
    <workbookView xWindow="-120" yWindow="-120" windowWidth="20730" windowHeight="11160" xr2:uid="{44B74728-ECD5-4B4B-B31D-F5532939F5C9}"/>
  </bookViews>
  <sheets>
    <sheet name="Sheet1" sheetId="1" r:id="rId1"/>
  </sheets>
  <definedNames>
    <definedName name="solver_adj" localSheetId="0" hidden="1">Sheet1!$B$13:$B$16</definedName>
    <definedName name="solver_cvg" localSheetId="0" hidden="1">0.001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Sheet1!$H$7:$H$10</definedName>
    <definedName name="solver_lhs2" localSheetId="0" hidden="1">Sheet1!$H$7:$H$10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Sheet1!$B$17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Sheet1!$J$7:$J$10</definedName>
    <definedName name="solver_rhs2" localSheetId="0" hidden="1">Sheet1!$J$7:$J$10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K10" i="1"/>
  <c r="H9" i="1"/>
  <c r="K9" i="1"/>
  <c r="H8" i="1"/>
  <c r="K8" i="1"/>
  <c r="H7" i="1"/>
  <c r="K7" i="1"/>
  <c r="B17" i="1"/>
</calcChain>
</file>

<file path=xl/sharedStrings.xml><?xml version="1.0" encoding="utf-8"?>
<sst xmlns="http://schemas.openxmlformats.org/spreadsheetml/2006/main" count="27" uniqueCount="24">
  <si>
    <t>Products:</t>
  </si>
  <si>
    <t>Profit per box:</t>
  </si>
  <si>
    <t>Available</t>
  </si>
  <si>
    <t>Usage</t>
  </si>
  <si>
    <t>Left over</t>
  </si>
  <si>
    <t>Production:</t>
  </si>
  <si>
    <t xml:space="preserve">        X1 =</t>
  </si>
  <si>
    <t>X2 =</t>
  </si>
  <si>
    <t>X3 =</t>
  </si>
  <si>
    <t>X4 =</t>
  </si>
  <si>
    <t>Profit =</t>
  </si>
  <si>
    <t>Constraints</t>
  </si>
  <si>
    <t>&lt;=</t>
  </si>
  <si>
    <t>Resources</t>
  </si>
  <si>
    <t>Manufacturing cost</t>
  </si>
  <si>
    <t>Lbr time</t>
  </si>
  <si>
    <t>Machine time</t>
  </si>
  <si>
    <t>Water usage</t>
  </si>
  <si>
    <t xml:space="preserve">Care Cosmetics </t>
  </si>
  <si>
    <t xml:space="preserve">Moisturizer </t>
  </si>
  <si>
    <t xml:space="preserve">Lotion </t>
  </si>
  <si>
    <t xml:space="preserve">Face Wash </t>
  </si>
  <si>
    <t xml:space="preserve">Serum </t>
  </si>
  <si>
    <r>
      <rPr>
        <b/>
        <i/>
        <sz val="10"/>
        <rFont val="Arial"/>
        <family val="2"/>
      </rPr>
      <t>Resources</t>
    </r>
    <r>
      <rPr>
        <i/>
        <sz val="10"/>
        <rFont val="Arial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</si>
</sst>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6" x14ac:knownFonts="1">
    <font>
      <sz val="10"/>
      <name val="Arial"/>
    </font>
    <font>
      <i/>
      <sz val="10"/>
      <name val="Arial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0" fillId="0" borderId="2" xfId="0" applyBorder="1"/>
    <xf numFmtId="0" fontId="1" fillId="0" borderId="3" xfId="0" applyFont="1" applyBorder="1"/>
    <xf numFmtId="0" fontId="0" fillId="0" borderId="0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1" fillId="0" borderId="6" xfId="0" applyFont="1" applyBorder="1" applyAlignment="1">
      <alignment horizontal="center"/>
    </xf>
    <xf numFmtId="172" fontId="0" fillId="0" borderId="7" xfId="0" applyNumberFormat="1" applyBorder="1" applyAlignment="1">
      <alignment horizontal="center"/>
    </xf>
    <xf numFmtId="172" fontId="0" fillId="0" borderId="8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0" fontId="2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1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249115</xdr:colOff>
      <xdr:row>11</xdr:row>
      <xdr:rowOff>117230</xdr:rowOff>
    </xdr:from>
    <xdr:to>
      <xdr:col>13</xdr:col>
      <xdr:colOff>511419</xdr:colOff>
      <xdr:row>22</xdr:row>
      <xdr:rowOff>10990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58D0FBFE-58A3-4650-AE28-98F6CA9D3C3C}"/>
            </a:ext>
          </a:extLst>
        </xdr:cNvPr>
        <xdr:cNvSpPr txBox="1">
          <a:spLocks noChangeArrowheads="1"/>
        </xdr:cNvSpPr>
      </xdr:nvSpPr>
      <xdr:spPr bwMode="auto">
        <a:xfrm>
          <a:off x="3289788" y="1926980"/>
          <a:ext cx="5486400" cy="1666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FF0000"/>
              </a:solidFill>
              <a:latin typeface="Arial"/>
              <a:cs typeface="Arial"/>
            </a:rPr>
            <a:t>  </a:t>
          </a:r>
          <a:r>
            <a:rPr lang="en-US" sz="1000" b="1" i="0" strike="noStrike">
              <a:solidFill>
                <a:srgbClr val="FF0000"/>
              </a:solidFill>
              <a:latin typeface="Arial"/>
              <a:cs typeface="Arial"/>
            </a:rPr>
            <a:t>maximise </a:t>
          </a:r>
          <a:r>
            <a:rPr lang="en-US" sz="1000" b="1" i="1" strike="noStrike">
              <a:solidFill>
                <a:srgbClr val="FF0000"/>
              </a:solidFill>
              <a:latin typeface="Arial"/>
              <a:cs typeface="Arial"/>
            </a:rPr>
            <a:t>Z</a:t>
          </a:r>
          <a:r>
            <a:rPr lang="en-US" sz="1000" b="1" i="0" strike="noStrike">
              <a:solidFill>
                <a:srgbClr val="FF0000"/>
              </a:solidFill>
              <a:latin typeface="Arial"/>
              <a:cs typeface="Arial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/>
              <a:cs typeface="Arial"/>
            </a:rPr>
            <a:t>= 115</a:t>
          </a:r>
          <a:r>
            <a:rPr lang="en-US" sz="1000" b="0" i="1" strike="noStrike">
              <a:solidFill>
                <a:srgbClr val="FF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FF0000"/>
              </a:solidFill>
              <a:latin typeface="Arial"/>
              <a:cs typeface="Arial"/>
            </a:rPr>
            <a:t>1</a:t>
          </a:r>
          <a:r>
            <a:rPr lang="en-US" sz="1000" b="0" i="0" strike="noStrike">
              <a:solidFill>
                <a:srgbClr val="FF0000"/>
              </a:solidFill>
              <a:latin typeface="Arial"/>
              <a:cs typeface="Arial"/>
            </a:rPr>
            <a:t> + 165</a:t>
          </a:r>
          <a:r>
            <a:rPr lang="en-US" sz="1000" b="0" i="1" strike="noStrike">
              <a:solidFill>
                <a:srgbClr val="FF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FF0000"/>
              </a:solidFill>
              <a:latin typeface="Arial"/>
              <a:cs typeface="Arial"/>
            </a:rPr>
            <a:t>2</a:t>
          </a:r>
          <a:r>
            <a:rPr lang="en-US" sz="1000" b="0" i="0" strike="noStrike">
              <a:solidFill>
                <a:srgbClr val="FF0000"/>
              </a:solidFill>
              <a:latin typeface="Arial"/>
              <a:cs typeface="Arial"/>
            </a:rPr>
            <a:t> + .185</a:t>
          </a:r>
          <a:r>
            <a:rPr lang="en-US" sz="1000" b="0" i="1" strike="noStrike">
              <a:solidFill>
                <a:srgbClr val="FF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FF0000"/>
              </a:solidFill>
              <a:latin typeface="Arial"/>
              <a:cs typeface="Arial"/>
            </a:rPr>
            <a:t>3</a:t>
          </a:r>
          <a:r>
            <a:rPr lang="en-US" sz="1000" b="0" i="0" strike="noStrike">
              <a:solidFill>
                <a:srgbClr val="FF0000"/>
              </a:solidFill>
              <a:latin typeface="Arial"/>
              <a:cs typeface="Arial"/>
            </a:rPr>
            <a:t> + 420</a:t>
          </a:r>
          <a:r>
            <a:rPr lang="en-US" sz="1000" b="0" i="1" strike="noStrike">
              <a:solidFill>
                <a:srgbClr val="FF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FF0000"/>
              </a:solidFill>
              <a:latin typeface="Arial"/>
              <a:cs typeface="Arial"/>
            </a:rPr>
            <a:t>4</a:t>
          </a:r>
          <a:r>
            <a:rPr lang="en-US" sz="1000" b="0" i="0" strike="noStrike">
              <a:solidFill>
                <a:srgbClr val="FF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subject to: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    205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+ 285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+ 315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+ 780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4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>
              <a:effectLst/>
              <a:latin typeface="+mn-lt"/>
              <a:ea typeface="+mn-ea"/>
              <a:cs typeface="+mn-cs"/>
            </a:rPr>
            <a:t>&lt;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= 55000 </a:t>
          </a:r>
          <a:r>
            <a:rPr lang="en-US" sz="1000" b="0" i="0" strike="noStrike">
              <a:solidFill>
                <a:srgbClr val="FFC000"/>
              </a:solidFill>
              <a:latin typeface="Arial"/>
              <a:cs typeface="Arial"/>
            </a:rPr>
            <a:t>(Manufacturing</a:t>
          </a:r>
          <a:r>
            <a:rPr lang="en-US" sz="1000" b="0" i="0" strike="noStrike" baseline="0">
              <a:solidFill>
                <a:srgbClr val="FFC000"/>
              </a:solidFill>
              <a:latin typeface="Arial"/>
              <a:cs typeface="Arial"/>
            </a:rPr>
            <a:t> Cost)</a:t>
          </a:r>
          <a:r>
            <a:rPr lang="en-US" sz="1000" b="0" i="0" strike="noStrike">
              <a:solidFill>
                <a:srgbClr val="FFC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    0.045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+ 0.050x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+ 0.035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+ 0.070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4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&lt;= 23hrs/unit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strike="noStrike" baseline="0">
              <a:solidFill>
                <a:srgbClr val="00B050"/>
              </a:solidFill>
              <a:latin typeface="Arial"/>
              <a:cs typeface="Arial"/>
            </a:rPr>
            <a:t>(Lbr hr per unit)</a:t>
          </a:r>
          <a:endParaRPr lang="en-US" sz="1000" b="0" i="0" strike="noStrike">
            <a:solidFill>
              <a:srgbClr val="00B05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    3.2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+ 3.8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+ 2.6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+ 5.8</a:t>
          </a:r>
          <a:r>
            <a:rPr lang="en-US" sz="1000" b="0" i="1">
              <a:effectLst/>
              <a:latin typeface="+mn-lt"/>
              <a:ea typeface="+mn-ea"/>
              <a:cs typeface="+mn-cs"/>
            </a:rPr>
            <a:t>x</a:t>
          </a:r>
          <a:r>
            <a:rPr lang="en-US" sz="1000" b="0" i="0" baseline="-25000">
              <a:effectLst/>
              <a:latin typeface="+mn-lt"/>
              <a:ea typeface="+mn-ea"/>
              <a:cs typeface="+mn-cs"/>
            </a:rPr>
            <a:t>4</a:t>
          </a:r>
          <a:r>
            <a:rPr lang="en-US" sz="1000" b="0" i="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&lt;= 45 min/unit </a:t>
          </a:r>
          <a:r>
            <a:rPr lang="en-US" sz="1000" b="0" i="0" strike="noStrike">
              <a:solidFill>
                <a:srgbClr val="002060"/>
              </a:solidFill>
              <a:latin typeface="Arial"/>
              <a:cs typeface="Arial"/>
            </a:rPr>
            <a:t>(Machine</a:t>
          </a:r>
          <a:r>
            <a:rPr lang="en-US" sz="1000" b="0" i="0" strike="noStrike" baseline="0">
              <a:solidFill>
                <a:srgbClr val="002060"/>
              </a:solidFill>
              <a:latin typeface="Arial"/>
              <a:cs typeface="Arial"/>
            </a:rPr>
            <a:t> Time Requirement)</a:t>
          </a:r>
          <a:endParaRPr lang="en-US" sz="1000" b="0" i="0" strike="noStrike">
            <a:solidFill>
              <a:srgbClr val="00206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    0.06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+ 0.13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+ 0.12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+ 0.015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US" sz="1000" b="0" i="0" strike="noStrike" baseline="-25000">
              <a:solidFill>
                <a:srgbClr val="000000"/>
              </a:solidFill>
              <a:latin typeface="Arial"/>
              <a:cs typeface="Arial"/>
            </a:rPr>
            <a:t>4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&lt;= 19mL/ unit </a:t>
          </a:r>
          <a:r>
            <a:rPr lang="en-US" sz="1000" b="0" i="0" strike="noStrike">
              <a:solidFill>
                <a:schemeClr val="accent6">
                  <a:lumMod val="50000"/>
                </a:schemeClr>
              </a:solidFill>
              <a:latin typeface="Arial"/>
              <a:cs typeface="Arial"/>
            </a:rPr>
            <a:t>(Water Usuage)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    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0" i="1">
              <a:effectLst/>
              <a:latin typeface="+mn-lt"/>
              <a:ea typeface="+mn-ea"/>
              <a:cs typeface="+mn-cs"/>
            </a:rPr>
            <a:t>x</a:t>
          </a:r>
          <a:r>
            <a:rPr lang="en-US" sz="1200" b="0" i="0" baseline="-25000">
              <a:effectLst/>
              <a:latin typeface="+mn-lt"/>
              <a:ea typeface="+mn-ea"/>
              <a:cs typeface="+mn-cs"/>
            </a:rPr>
            <a:t>1</a:t>
          </a:r>
          <a:r>
            <a:rPr lang="en-US" sz="1200" b="0" i="0">
              <a:effectLst/>
              <a:latin typeface="+mn-lt"/>
              <a:ea typeface="+mn-ea"/>
              <a:cs typeface="+mn-cs"/>
            </a:rPr>
            <a:t> + </a:t>
          </a:r>
          <a:r>
            <a:rPr lang="en-US" sz="1200" b="0" i="1">
              <a:effectLst/>
              <a:latin typeface="+mn-lt"/>
              <a:ea typeface="+mn-ea"/>
              <a:cs typeface="+mn-cs"/>
            </a:rPr>
            <a:t>x</a:t>
          </a:r>
          <a:r>
            <a:rPr lang="en-US" sz="1200" b="0" i="0" baseline="-25000">
              <a:effectLst/>
              <a:latin typeface="+mn-lt"/>
              <a:ea typeface="+mn-ea"/>
              <a:cs typeface="+mn-cs"/>
            </a:rPr>
            <a:t>2</a:t>
          </a:r>
          <a:r>
            <a:rPr lang="en-US" sz="1200" b="0" i="0">
              <a:effectLst/>
              <a:latin typeface="+mn-lt"/>
              <a:ea typeface="+mn-ea"/>
              <a:cs typeface="+mn-cs"/>
            </a:rPr>
            <a:t> + </a:t>
          </a:r>
          <a:r>
            <a:rPr lang="en-US" sz="1200" b="0" i="1">
              <a:effectLst/>
              <a:latin typeface="+mn-lt"/>
              <a:ea typeface="+mn-ea"/>
              <a:cs typeface="+mn-cs"/>
            </a:rPr>
            <a:t>x</a:t>
          </a:r>
          <a:r>
            <a:rPr lang="en-US" sz="1200" b="0" i="0" baseline="-25000">
              <a:effectLst/>
              <a:latin typeface="+mn-lt"/>
              <a:ea typeface="+mn-ea"/>
              <a:cs typeface="+mn-cs"/>
            </a:rPr>
            <a:t>3</a:t>
          </a:r>
          <a:r>
            <a:rPr lang="en-US" sz="1200" b="0" i="0">
              <a:effectLst/>
              <a:latin typeface="+mn-lt"/>
              <a:ea typeface="+mn-ea"/>
              <a:cs typeface="+mn-cs"/>
            </a:rPr>
            <a:t> + </a:t>
          </a:r>
          <a:r>
            <a:rPr lang="en-US" sz="1200" b="0" i="1">
              <a:effectLst/>
              <a:latin typeface="+mn-lt"/>
              <a:ea typeface="+mn-ea"/>
              <a:cs typeface="+mn-cs"/>
            </a:rPr>
            <a:t>x</a:t>
          </a:r>
          <a:r>
            <a:rPr lang="en-US" sz="1200" b="0" i="0" baseline="-25000">
              <a:effectLst/>
              <a:latin typeface="+mn-lt"/>
              <a:ea typeface="+mn-ea"/>
              <a:cs typeface="+mn-cs"/>
            </a:rPr>
            <a:t>4</a:t>
          </a:r>
          <a:r>
            <a:rPr lang="en-US" sz="1200" b="0" i="0">
              <a:effectLst/>
              <a:latin typeface="+mn-lt"/>
              <a:ea typeface="+mn-ea"/>
              <a:cs typeface="+mn-cs"/>
            </a:rPr>
            <a:t> &gt;= 0</a:t>
          </a:r>
          <a:r>
            <a:rPr lang="en-US" sz="1200" b="0" i="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000" b="0" i="0" baseline="0">
              <a:effectLst/>
              <a:latin typeface="+mn-lt"/>
              <a:ea typeface="+mn-ea"/>
              <a:cs typeface="+mn-cs"/>
            </a:rPr>
            <a:t>(</a:t>
          </a:r>
          <a:r>
            <a:rPr lang="en-US" sz="1050" b="1" i="0" baseline="0">
              <a:effectLst/>
              <a:latin typeface="+mn-lt"/>
              <a:ea typeface="+mn-ea"/>
              <a:cs typeface="+mn-cs"/>
            </a:rPr>
            <a:t>Non-negative</a:t>
          </a:r>
          <a:r>
            <a:rPr lang="en-US" sz="1000" b="0" i="0" baseline="0">
              <a:effectLst/>
              <a:latin typeface="+mn-lt"/>
              <a:ea typeface="+mn-ea"/>
              <a:cs typeface="+mn-cs"/>
            </a:rPr>
            <a:t>)</a:t>
          </a: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B15C-8FD6-4000-B1E3-3021DC2AB6F3}">
  <dimension ref="A1:K17"/>
  <sheetViews>
    <sheetView tabSelected="1" topLeftCell="A6" zoomScale="130" zoomScaleNormal="130" workbookViewId="0">
      <selection activeCell="I23" sqref="I23"/>
    </sheetView>
  </sheetViews>
  <sheetFormatPr defaultRowHeight="12.75" x14ac:dyDescent="0.2"/>
  <cols>
    <col min="6" max="6" width="9.5703125" customWidth="1"/>
    <col min="8" max="10" width="10.7109375" customWidth="1"/>
  </cols>
  <sheetData>
    <row r="1" spans="1:11" ht="15.75" x14ac:dyDescent="0.25">
      <c r="A1" s="1" t="s">
        <v>18</v>
      </c>
    </row>
    <row r="4" spans="1:11" x14ac:dyDescent="0.2">
      <c r="A4" s="33" t="s">
        <v>0</v>
      </c>
      <c r="B4" s="4"/>
      <c r="C4" s="4"/>
      <c r="D4" s="30" t="s">
        <v>19</v>
      </c>
      <c r="E4" s="31" t="s">
        <v>20</v>
      </c>
      <c r="F4" s="32" t="s">
        <v>21</v>
      </c>
      <c r="G4" s="31" t="s">
        <v>22</v>
      </c>
    </row>
    <row r="5" spans="1:11" x14ac:dyDescent="0.2">
      <c r="A5" s="5" t="s">
        <v>1</v>
      </c>
      <c r="B5" s="6"/>
      <c r="C5" s="6"/>
      <c r="D5" s="19">
        <v>115</v>
      </c>
      <c r="E5" s="20">
        <v>165</v>
      </c>
      <c r="F5" s="21">
        <v>185</v>
      </c>
      <c r="G5" s="20">
        <v>420</v>
      </c>
      <c r="H5" s="27" t="s">
        <v>13</v>
      </c>
      <c r="I5" s="28"/>
      <c r="J5" s="28"/>
      <c r="K5" s="29"/>
    </row>
    <row r="6" spans="1:11" x14ac:dyDescent="0.2">
      <c r="A6" s="34" t="s">
        <v>23</v>
      </c>
      <c r="B6" s="9"/>
      <c r="C6" s="9"/>
      <c r="D6" s="8"/>
      <c r="E6" s="8"/>
      <c r="F6" s="7"/>
      <c r="G6" s="8"/>
      <c r="H6" s="13" t="s">
        <v>3</v>
      </c>
      <c r="I6" s="13" t="s">
        <v>11</v>
      </c>
      <c r="J6" s="10" t="s">
        <v>2</v>
      </c>
      <c r="K6" s="14" t="s">
        <v>4</v>
      </c>
    </row>
    <row r="7" spans="1:11" x14ac:dyDescent="0.2">
      <c r="A7" s="26" t="s">
        <v>14</v>
      </c>
      <c r="B7" s="6"/>
      <c r="C7" s="6"/>
      <c r="D7" s="22">
        <v>0.1</v>
      </c>
      <c r="E7" s="22">
        <v>0.25</v>
      </c>
      <c r="F7" s="23">
        <v>0.08</v>
      </c>
      <c r="G7" s="24">
        <v>0.21</v>
      </c>
      <c r="H7" s="11">
        <f>B13*D7+B14*E7+B15*F7+B16*G7</f>
        <v>0.26999999999999996</v>
      </c>
      <c r="I7" s="11" t="s">
        <v>12</v>
      </c>
      <c r="J7" s="25">
        <v>55000</v>
      </c>
      <c r="K7" s="11">
        <f>J7-H7</f>
        <v>54999.73</v>
      </c>
    </row>
    <row r="8" spans="1:11" x14ac:dyDescent="0.2">
      <c r="A8" s="26" t="s">
        <v>15</v>
      </c>
      <c r="B8" s="6"/>
      <c r="C8" s="6"/>
      <c r="D8" s="22">
        <v>3</v>
      </c>
      <c r="E8" s="22">
        <v>3</v>
      </c>
      <c r="F8" s="23">
        <v>1</v>
      </c>
      <c r="G8" s="24">
        <v>1</v>
      </c>
      <c r="H8" s="12">
        <f>B13*D8+B14*E8+B15*F8+B16*G8</f>
        <v>1.2857142857142856</v>
      </c>
      <c r="I8" s="12" t="s">
        <v>12</v>
      </c>
      <c r="J8" s="23">
        <v>23</v>
      </c>
      <c r="K8" s="12">
        <f>J8-H8</f>
        <v>21.714285714285715</v>
      </c>
    </row>
    <row r="9" spans="1:11" x14ac:dyDescent="0.2">
      <c r="A9" s="26" t="s">
        <v>16</v>
      </c>
      <c r="B9" s="6"/>
      <c r="C9" s="6"/>
      <c r="D9" s="22">
        <v>36</v>
      </c>
      <c r="E9" s="22">
        <v>48</v>
      </c>
      <c r="F9" s="23">
        <v>25</v>
      </c>
      <c r="G9" s="24">
        <v>35</v>
      </c>
      <c r="H9" s="12">
        <f>B13*D9+B14*E9+B15*F9+B16*G9</f>
        <v>44.999999999999993</v>
      </c>
      <c r="I9" s="12" t="s">
        <v>12</v>
      </c>
      <c r="J9" s="23">
        <v>45</v>
      </c>
      <c r="K9" s="12">
        <f>J9-H9</f>
        <v>0</v>
      </c>
    </row>
    <row r="10" spans="1:11" x14ac:dyDescent="0.2">
      <c r="A10" s="26" t="s">
        <v>17</v>
      </c>
      <c r="B10" s="6"/>
      <c r="C10" s="6"/>
      <c r="D10" s="22">
        <v>1</v>
      </c>
      <c r="E10" s="22">
        <v>1</v>
      </c>
      <c r="F10" s="23"/>
      <c r="G10" s="24"/>
      <c r="H10" s="12">
        <f>B13*D10+B14*E10+B15*F10+B16*G10</f>
        <v>0</v>
      </c>
      <c r="I10" s="12" t="s">
        <v>12</v>
      </c>
      <c r="J10" s="23">
        <v>19</v>
      </c>
      <c r="K10" s="12">
        <f>J10-H10</f>
        <v>19</v>
      </c>
    </row>
    <row r="12" spans="1:11" x14ac:dyDescent="0.2">
      <c r="A12" s="2" t="s">
        <v>5</v>
      </c>
    </row>
    <row r="13" spans="1:11" x14ac:dyDescent="0.2">
      <c r="A13" t="s">
        <v>6</v>
      </c>
      <c r="B13" s="16">
        <v>0</v>
      </c>
    </row>
    <row r="14" spans="1:11" x14ac:dyDescent="0.2">
      <c r="A14" s="3" t="s">
        <v>7</v>
      </c>
      <c r="B14" s="17">
        <v>0</v>
      </c>
    </row>
    <row r="15" spans="1:11" x14ac:dyDescent="0.2">
      <c r="A15" s="3" t="s">
        <v>8</v>
      </c>
      <c r="B15" s="18">
        <v>0</v>
      </c>
    </row>
    <row r="16" spans="1:11" x14ac:dyDescent="0.2">
      <c r="A16" s="3" t="s">
        <v>9</v>
      </c>
      <c r="B16" s="17">
        <v>1.2857142857142856</v>
      </c>
    </row>
    <row r="17" spans="1:2" x14ac:dyDescent="0.2">
      <c r="A17" s="3" t="s">
        <v>10</v>
      </c>
      <c r="B17" s="15">
        <f>B13*D5+B14*E5+B15*F5+B16*G5</f>
        <v>540</v>
      </c>
    </row>
  </sheetData>
  <mergeCells count="1">
    <mergeCell ref="H5:K5"/>
  </mergeCells>
  <phoneticPr fontId="0" type="noConversion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2000 Customer</dc:creator>
  <cp:lastModifiedBy>Moaiz Irfan</cp:lastModifiedBy>
  <dcterms:created xsi:type="dcterms:W3CDTF">1997-09-09T17:18:54Z</dcterms:created>
  <dcterms:modified xsi:type="dcterms:W3CDTF">2026-04-21T13:41:06Z</dcterms:modified>
</cp:coreProperties>
</file>